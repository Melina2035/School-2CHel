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CHel\School-2CHel\HWE\Project\"/>
    </mc:Choice>
  </mc:AlternateContent>
  <xr:revisionPtr revIDLastSave="0" documentId="8_{E5B5DF79-CCE6-4F3A-98B7-AFBA2C93CC84}" xr6:coauthVersionLast="47" xr6:coauthVersionMax="47" xr10:uidLastSave="{00000000-0000-0000-0000-000000000000}"/>
  <bookViews>
    <workbookView xWindow="-110" yWindow="-110" windowWidth="22780" windowHeight="14540" xr2:uid="{F10D727E-A52A-40F8-A54E-870A34AFA2D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6" i="1" l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</calcChain>
</file>

<file path=xl/sharedStrings.xml><?xml version="1.0" encoding="utf-8"?>
<sst xmlns="http://schemas.openxmlformats.org/spreadsheetml/2006/main" count="8" uniqueCount="8">
  <si>
    <t>Belasteter U Treiber:</t>
  </si>
  <si>
    <t>Uqe [V]</t>
  </si>
  <si>
    <t>Lqe[mA]</t>
  </si>
  <si>
    <t>Ri[Ohm]:</t>
  </si>
  <si>
    <t>RL[Ohm]</t>
  </si>
  <si>
    <t>Ul[V]</t>
  </si>
  <si>
    <t>Il[mA]</t>
  </si>
  <si>
    <t>Pl[mW]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</si>
</sst>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4" fontId="0" fillId="0" borderId="1" xfId="0" applyNumberFormat="1" applyBorder="1"/>
    <xf numFmtId="4" fontId="0" fillId="0" borderId="2" xfId="0" applyNumberFormat="1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2" fontId="0" fillId="0" borderId="2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AT"/>
              <a:t>Ul</a:t>
            </a:r>
            <a:r>
              <a:rPr lang="de-AT" baseline="0"/>
              <a:t> = f(Rl)</a:t>
            </a:r>
            <a:endParaRPr lang="de-AT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Sheet1!$A$6:$A$26</c:f>
              <c:numCache>
                <c:formatCode>#,##0.00</c:formatCode>
                <c:ptCount val="21"/>
                <c:pt idx="0">
                  <c:v>1</c:v>
                </c:pt>
                <c:pt idx="1">
                  <c:v>3</c:v>
                </c:pt>
                <c:pt idx="2">
                  <c:v>5</c:v>
                </c:pt>
                <c:pt idx="3">
                  <c:v>7</c:v>
                </c:pt>
                <c:pt idx="4">
                  <c:v>10</c:v>
                </c:pt>
                <c:pt idx="5">
                  <c:v>30</c:v>
                </c:pt>
                <c:pt idx="6">
                  <c:v>50</c:v>
                </c:pt>
                <c:pt idx="7">
                  <c:v>70</c:v>
                </c:pt>
                <c:pt idx="8">
                  <c:v>100</c:v>
                </c:pt>
                <c:pt idx="9">
                  <c:v>300</c:v>
                </c:pt>
                <c:pt idx="10">
                  <c:v>500</c:v>
                </c:pt>
                <c:pt idx="11">
                  <c:v>700</c:v>
                </c:pt>
                <c:pt idx="12">
                  <c:v>1000</c:v>
                </c:pt>
                <c:pt idx="13">
                  <c:v>3000</c:v>
                </c:pt>
                <c:pt idx="14">
                  <c:v>5000</c:v>
                </c:pt>
                <c:pt idx="15">
                  <c:v>7000</c:v>
                </c:pt>
                <c:pt idx="16">
                  <c:v>10000</c:v>
                </c:pt>
                <c:pt idx="17">
                  <c:v>30000</c:v>
                </c:pt>
                <c:pt idx="18">
                  <c:v>50000</c:v>
                </c:pt>
                <c:pt idx="19">
                  <c:v>70000</c:v>
                </c:pt>
                <c:pt idx="20">
                  <c:v>100000</c:v>
                </c:pt>
              </c:numCache>
            </c:numRef>
          </c:xVal>
          <c:yVal>
            <c:numRef>
              <c:f>Sheet1!$B$6:$B$26</c:f>
              <c:numCache>
                <c:formatCode>0.00</c:formatCode>
                <c:ptCount val="21"/>
                <c:pt idx="0">
                  <c:v>9.9800399201596807E-3</c:v>
                </c:pt>
                <c:pt idx="1">
                  <c:v>2.982107355864811E-2</c:v>
                </c:pt>
                <c:pt idx="2">
                  <c:v>4.9504950495049507E-2</c:v>
                </c:pt>
                <c:pt idx="3">
                  <c:v>6.9033530571992116E-2</c:v>
                </c:pt>
                <c:pt idx="4">
                  <c:v>9.8039215686274508E-2</c:v>
                </c:pt>
                <c:pt idx="5">
                  <c:v>0.28301886792452829</c:v>
                </c:pt>
                <c:pt idx="6">
                  <c:v>0.45454545454545453</c:v>
                </c:pt>
                <c:pt idx="7">
                  <c:v>0.61403508771929827</c:v>
                </c:pt>
                <c:pt idx="8">
                  <c:v>0.83333333333333337</c:v>
                </c:pt>
                <c:pt idx="9">
                  <c:v>1.875</c:v>
                </c:pt>
                <c:pt idx="10">
                  <c:v>2.5</c:v>
                </c:pt>
                <c:pt idx="11">
                  <c:v>2.9166666666666665</c:v>
                </c:pt>
                <c:pt idx="12">
                  <c:v>3.3333333333333335</c:v>
                </c:pt>
                <c:pt idx="13">
                  <c:v>4.2857142857142856</c:v>
                </c:pt>
                <c:pt idx="14">
                  <c:v>4.5454545454545459</c:v>
                </c:pt>
                <c:pt idx="15">
                  <c:v>4.666666666666667</c:v>
                </c:pt>
                <c:pt idx="16">
                  <c:v>4.7619047619047619</c:v>
                </c:pt>
                <c:pt idx="17">
                  <c:v>4.918032786885246</c:v>
                </c:pt>
                <c:pt idx="18">
                  <c:v>4.9504950495049505</c:v>
                </c:pt>
                <c:pt idx="19">
                  <c:v>4.9645390070921982</c:v>
                </c:pt>
                <c:pt idx="20">
                  <c:v>4.9751243781094523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D28-40EC-BAF8-1C8B8D6B20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93080527"/>
        <c:axId val="1191300175"/>
      </c:scatterChart>
      <c:valAx>
        <c:axId val="1193080527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AT"/>
                  <a:t>Rl[ohm]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DE"/>
            </a:p>
          </c:txPr>
        </c:title>
        <c:numFmt formatCode="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1191300175"/>
        <c:crosses val="autoZero"/>
        <c:crossBetween val="midCat"/>
      </c:valAx>
      <c:valAx>
        <c:axId val="11913001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AT"/>
                  <a:t>Ul</a:t>
                </a:r>
                <a:r>
                  <a:rPr lang="de-AT" baseline="0"/>
                  <a:t> []V</a:t>
                </a:r>
                <a:endParaRPr lang="de-AT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DE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1193080527"/>
        <c:crosses val="autoZero"/>
        <c:crossBetween val="midCat"/>
      </c:valAx>
      <c:spPr>
        <a:noFill/>
        <a:ln>
          <a:solidFill>
            <a:schemeClr val="accent1"/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E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AT"/>
              <a:t>Il = f(Rl)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Sheet1!$A$6:$A$26</c:f>
              <c:numCache>
                <c:formatCode>#,##0.00</c:formatCode>
                <c:ptCount val="21"/>
                <c:pt idx="0">
                  <c:v>1</c:v>
                </c:pt>
                <c:pt idx="1">
                  <c:v>3</c:v>
                </c:pt>
                <c:pt idx="2">
                  <c:v>5</c:v>
                </c:pt>
                <c:pt idx="3">
                  <c:v>7</c:v>
                </c:pt>
                <c:pt idx="4">
                  <c:v>10</c:v>
                </c:pt>
                <c:pt idx="5">
                  <c:v>30</c:v>
                </c:pt>
                <c:pt idx="6">
                  <c:v>50</c:v>
                </c:pt>
                <c:pt idx="7">
                  <c:v>70</c:v>
                </c:pt>
                <c:pt idx="8">
                  <c:v>100</c:v>
                </c:pt>
                <c:pt idx="9">
                  <c:v>300</c:v>
                </c:pt>
                <c:pt idx="10">
                  <c:v>500</c:v>
                </c:pt>
                <c:pt idx="11">
                  <c:v>700</c:v>
                </c:pt>
                <c:pt idx="12">
                  <c:v>1000</c:v>
                </c:pt>
                <c:pt idx="13">
                  <c:v>3000</c:v>
                </c:pt>
                <c:pt idx="14">
                  <c:v>5000</c:v>
                </c:pt>
                <c:pt idx="15">
                  <c:v>7000</c:v>
                </c:pt>
                <c:pt idx="16">
                  <c:v>10000</c:v>
                </c:pt>
                <c:pt idx="17">
                  <c:v>30000</c:v>
                </c:pt>
                <c:pt idx="18">
                  <c:v>50000</c:v>
                </c:pt>
                <c:pt idx="19">
                  <c:v>70000</c:v>
                </c:pt>
                <c:pt idx="20">
                  <c:v>100000</c:v>
                </c:pt>
              </c:numCache>
            </c:numRef>
          </c:xVal>
          <c:yVal>
            <c:numRef>
              <c:f>Sheet1!$C$6:$C$26</c:f>
              <c:numCache>
                <c:formatCode>0.00</c:formatCode>
                <c:ptCount val="21"/>
                <c:pt idx="0">
                  <c:v>9.9800399201596814</c:v>
                </c:pt>
                <c:pt idx="1">
                  <c:v>9.9403578528827037</c:v>
                </c:pt>
                <c:pt idx="2">
                  <c:v>9.9009900990099009</c:v>
                </c:pt>
                <c:pt idx="3">
                  <c:v>9.8619329388560164</c:v>
                </c:pt>
                <c:pt idx="4">
                  <c:v>9.8039215686274517</c:v>
                </c:pt>
                <c:pt idx="5">
                  <c:v>9.433962264150944</c:v>
                </c:pt>
                <c:pt idx="6">
                  <c:v>9.0909090909090917</c:v>
                </c:pt>
                <c:pt idx="7">
                  <c:v>8.7719298245614041</c:v>
                </c:pt>
                <c:pt idx="8">
                  <c:v>8.3333333333333339</c:v>
                </c:pt>
                <c:pt idx="9">
                  <c:v>6.25</c:v>
                </c:pt>
                <c:pt idx="10">
                  <c:v>5</c:v>
                </c:pt>
                <c:pt idx="11">
                  <c:v>4.166666666666667</c:v>
                </c:pt>
                <c:pt idx="12">
                  <c:v>3.3333333333333335</c:v>
                </c:pt>
                <c:pt idx="13">
                  <c:v>1.4285714285714286</c:v>
                </c:pt>
                <c:pt idx="14">
                  <c:v>0.90909090909090906</c:v>
                </c:pt>
                <c:pt idx="15">
                  <c:v>0.66666666666666663</c:v>
                </c:pt>
                <c:pt idx="16">
                  <c:v>0.47619047619047616</c:v>
                </c:pt>
                <c:pt idx="17">
                  <c:v>0.16393442622950818</c:v>
                </c:pt>
                <c:pt idx="18">
                  <c:v>9.9009900990099015E-2</c:v>
                </c:pt>
                <c:pt idx="19">
                  <c:v>7.0921985815602842E-2</c:v>
                </c:pt>
                <c:pt idx="20">
                  <c:v>4.975124378109453E-2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53A-43EF-81CF-FBCDA14BCC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82692431"/>
        <c:axId val="1191249775"/>
      </c:scatterChart>
      <c:valAx>
        <c:axId val="1182692431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AT"/>
                  <a:t>Rl [Ohm]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DE"/>
            </a:p>
          </c:txPr>
        </c:title>
        <c:numFmt formatCode="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1191249775"/>
        <c:crosses val="autoZero"/>
        <c:crossBetween val="midCat"/>
      </c:valAx>
      <c:valAx>
        <c:axId val="11912497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AT"/>
                  <a:t>Il</a:t>
                </a:r>
                <a:r>
                  <a:rPr lang="de-AT" baseline="0"/>
                  <a:t> [mA]</a:t>
                </a:r>
                <a:endParaRPr lang="de-AT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DE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11826924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E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AT"/>
              <a:t>Pl = f(Rl)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Sheet1!$A$6:$A$26</c:f>
              <c:numCache>
                <c:formatCode>#,##0.00</c:formatCode>
                <c:ptCount val="21"/>
                <c:pt idx="0">
                  <c:v>1</c:v>
                </c:pt>
                <c:pt idx="1">
                  <c:v>3</c:v>
                </c:pt>
                <c:pt idx="2">
                  <c:v>5</c:v>
                </c:pt>
                <c:pt idx="3">
                  <c:v>7</c:v>
                </c:pt>
                <c:pt idx="4">
                  <c:v>10</c:v>
                </c:pt>
                <c:pt idx="5">
                  <c:v>30</c:v>
                </c:pt>
                <c:pt idx="6">
                  <c:v>50</c:v>
                </c:pt>
                <c:pt idx="7">
                  <c:v>70</c:v>
                </c:pt>
                <c:pt idx="8">
                  <c:v>100</c:v>
                </c:pt>
                <c:pt idx="9">
                  <c:v>300</c:v>
                </c:pt>
                <c:pt idx="10">
                  <c:v>500</c:v>
                </c:pt>
                <c:pt idx="11">
                  <c:v>700</c:v>
                </c:pt>
                <c:pt idx="12">
                  <c:v>1000</c:v>
                </c:pt>
                <c:pt idx="13">
                  <c:v>3000</c:v>
                </c:pt>
                <c:pt idx="14">
                  <c:v>5000</c:v>
                </c:pt>
                <c:pt idx="15">
                  <c:v>7000</c:v>
                </c:pt>
                <c:pt idx="16">
                  <c:v>10000</c:v>
                </c:pt>
                <c:pt idx="17">
                  <c:v>30000</c:v>
                </c:pt>
                <c:pt idx="18">
                  <c:v>50000</c:v>
                </c:pt>
                <c:pt idx="19">
                  <c:v>70000</c:v>
                </c:pt>
                <c:pt idx="20">
                  <c:v>100000</c:v>
                </c:pt>
              </c:numCache>
            </c:numRef>
          </c:xVal>
          <c:yVal>
            <c:numRef>
              <c:f>Sheet1!$D$6:$D$26</c:f>
              <c:numCache>
                <c:formatCode>0.00</c:formatCode>
                <c:ptCount val="21"/>
                <c:pt idx="0">
                  <c:v>9.9601196807980852E-2</c:v>
                </c:pt>
                <c:pt idx="1">
                  <c:v>0.29643214273010055</c:v>
                </c:pt>
                <c:pt idx="2">
                  <c:v>0.49014802470346047</c:v>
                </c:pt>
                <c:pt idx="3">
                  <c:v>0.68080404903345282</c:v>
                </c:pt>
                <c:pt idx="4">
                  <c:v>0.96116878123798544</c:v>
                </c:pt>
                <c:pt idx="5">
                  <c:v>2.66998932004272</c:v>
                </c:pt>
                <c:pt idx="6">
                  <c:v>4.1322314049586781</c:v>
                </c:pt>
                <c:pt idx="7">
                  <c:v>5.38627269929209</c:v>
                </c:pt>
                <c:pt idx="8">
                  <c:v>6.9444444444444446</c:v>
                </c:pt>
                <c:pt idx="9">
                  <c:v>11.71875</c:v>
                </c:pt>
                <c:pt idx="10">
                  <c:v>12.5</c:v>
                </c:pt>
                <c:pt idx="11">
                  <c:v>12.15277777777778</c:v>
                </c:pt>
                <c:pt idx="12">
                  <c:v>11.111111111111112</c:v>
                </c:pt>
                <c:pt idx="13">
                  <c:v>6.1224489795918373</c:v>
                </c:pt>
                <c:pt idx="14">
                  <c:v>4.1322314049586772</c:v>
                </c:pt>
                <c:pt idx="15">
                  <c:v>3.1111111111111112</c:v>
                </c:pt>
                <c:pt idx="16">
                  <c:v>2.2675736961451247</c:v>
                </c:pt>
                <c:pt idx="17">
                  <c:v>0.80623488309594182</c:v>
                </c:pt>
                <c:pt idx="18">
                  <c:v>0.49014802470346042</c:v>
                </c:pt>
                <c:pt idx="19">
                  <c:v>0.35209496504199994</c:v>
                </c:pt>
                <c:pt idx="20">
                  <c:v>0.24751862577658967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276-46C5-BCFA-A3F5B151C6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25495583"/>
        <c:axId val="1191252175"/>
      </c:scatterChart>
      <c:valAx>
        <c:axId val="1025495583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AT"/>
                  <a:t>Rl</a:t>
                </a:r>
                <a:r>
                  <a:rPr lang="de-AT" baseline="0"/>
                  <a:t> [Ohm]</a:t>
                </a:r>
                <a:endParaRPr lang="de-AT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DE"/>
            </a:p>
          </c:txPr>
        </c:title>
        <c:numFmt formatCode="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1191252175"/>
        <c:crosses val="autoZero"/>
        <c:crossBetween val="midCat"/>
      </c:valAx>
      <c:valAx>
        <c:axId val="11912521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AT"/>
                  <a:t>Pl</a:t>
                </a:r>
                <a:r>
                  <a:rPr lang="de-AT" baseline="0"/>
                  <a:t> [mW]</a:t>
                </a:r>
                <a:endParaRPr lang="de-AT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DE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10254955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8282</xdr:colOff>
      <xdr:row>4</xdr:row>
      <xdr:rowOff>3313</xdr:rowOff>
    </xdr:from>
    <xdr:to>
      <xdr:col>12</xdr:col>
      <xdr:colOff>328543</xdr:colOff>
      <xdr:row>19</xdr:row>
      <xdr:rowOff>2209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7ED1C52D-36EC-4608-06AF-8CFC1737E8D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1933</xdr:colOff>
      <xdr:row>19</xdr:row>
      <xdr:rowOff>36995</xdr:rowOff>
    </xdr:from>
    <xdr:to>
      <xdr:col>12</xdr:col>
      <xdr:colOff>322194</xdr:colOff>
      <xdr:row>34</xdr:row>
      <xdr:rowOff>46934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8606F25C-8C94-5E15-A423-BEAFC2FF1D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377825</xdr:colOff>
      <xdr:row>4</xdr:row>
      <xdr:rowOff>31750</xdr:rowOff>
    </xdr:from>
    <xdr:to>
      <xdr:col>20</xdr:col>
      <xdr:colOff>73025</xdr:colOff>
      <xdr:row>19</xdr:row>
      <xdr:rowOff>6350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EE8EEEC0-A03B-6E02-3970-B2B7C5BED4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8315DF-3EB5-4D89-AA1F-ED1BAD93C325}">
  <dimension ref="A1:G26"/>
  <sheetViews>
    <sheetView tabSelected="1" zoomScaleNormal="100" workbookViewId="0">
      <selection activeCell="P27" sqref="P27"/>
    </sheetView>
  </sheetViews>
  <sheetFormatPr defaultRowHeight="14.5" x14ac:dyDescent="0.35"/>
  <cols>
    <col min="1" max="1" width="10.1796875" bestFit="1" customWidth="1"/>
  </cols>
  <sheetData>
    <row r="1" spans="1:7" x14ac:dyDescent="0.35">
      <c r="A1" t="s">
        <v>0</v>
      </c>
    </row>
    <row r="3" spans="1:7" x14ac:dyDescent="0.35">
      <c r="A3" t="s">
        <v>1</v>
      </c>
      <c r="B3">
        <v>5</v>
      </c>
      <c r="C3" t="s">
        <v>2</v>
      </c>
      <c r="D3">
        <v>10</v>
      </c>
      <c r="F3" t="s">
        <v>3</v>
      </c>
      <c r="G3">
        <v>500</v>
      </c>
    </row>
    <row r="4" spans="1:7" ht="15" thickBot="1" x14ac:dyDescent="0.4"/>
    <row r="5" spans="1:7" ht="15" thickBot="1" x14ac:dyDescent="0.4">
      <c r="A5" s="3" t="s">
        <v>4</v>
      </c>
      <c r="B5" s="4" t="s">
        <v>5</v>
      </c>
      <c r="C5" s="4" t="s">
        <v>6</v>
      </c>
      <c r="D5" s="5" t="s">
        <v>7</v>
      </c>
    </row>
    <row r="6" spans="1:7" x14ac:dyDescent="0.35">
      <c r="A6" s="2">
        <v>1</v>
      </c>
      <c r="B6" s="6">
        <f>$B$3*$A6/($G$3+$A6)</f>
        <v>9.9800399201596807E-3</v>
      </c>
      <c r="C6" s="6">
        <f>$D$3*$G$3/($G$3+$A6)</f>
        <v>9.9800399201596814</v>
      </c>
      <c r="D6" s="6">
        <f>($D$3*$G$3/($G$3+$A6))*$B$3*$A6/($G$3+$A6)</f>
        <v>9.9601196807980852E-2</v>
      </c>
    </row>
    <row r="7" spans="1:7" x14ac:dyDescent="0.35">
      <c r="A7" s="1">
        <v>3</v>
      </c>
      <c r="B7" s="6">
        <f t="shared" ref="B7:B26" si="0">$B$3*$A7/($G$3+$A7)</f>
        <v>2.982107355864811E-2</v>
      </c>
      <c r="C7" s="6">
        <f t="shared" ref="C7:C26" si="1">$D$3*$G$3/($G$3+$A7)</f>
        <v>9.9403578528827037</v>
      </c>
      <c r="D7" s="6">
        <f t="shared" ref="D7:D26" si="2">($D$3*$G$3/($G$3+$A7))*$B$3*$A7/($G$3+$A7)</f>
        <v>0.29643214273010055</v>
      </c>
    </row>
    <row r="8" spans="1:7" x14ac:dyDescent="0.35">
      <c r="A8" s="1">
        <v>5</v>
      </c>
      <c r="B8" s="6">
        <f t="shared" si="0"/>
        <v>4.9504950495049507E-2</v>
      </c>
      <c r="C8" s="6">
        <f t="shared" si="1"/>
        <v>9.9009900990099009</v>
      </c>
      <c r="D8" s="6">
        <f t="shared" si="2"/>
        <v>0.49014802470346047</v>
      </c>
    </row>
    <row r="9" spans="1:7" x14ac:dyDescent="0.35">
      <c r="A9" s="1">
        <v>7</v>
      </c>
      <c r="B9" s="6">
        <f t="shared" si="0"/>
        <v>6.9033530571992116E-2</v>
      </c>
      <c r="C9" s="6">
        <f t="shared" si="1"/>
        <v>9.8619329388560164</v>
      </c>
      <c r="D9" s="6">
        <f t="shared" si="2"/>
        <v>0.68080404903345282</v>
      </c>
    </row>
    <row r="10" spans="1:7" x14ac:dyDescent="0.35">
      <c r="A10" s="1">
        <v>10</v>
      </c>
      <c r="B10" s="6">
        <f t="shared" si="0"/>
        <v>9.8039215686274508E-2</v>
      </c>
      <c r="C10" s="6">
        <f t="shared" si="1"/>
        <v>9.8039215686274517</v>
      </c>
      <c r="D10" s="6">
        <f t="shared" si="2"/>
        <v>0.96116878123798544</v>
      </c>
    </row>
    <row r="11" spans="1:7" x14ac:dyDescent="0.35">
      <c r="A11" s="1">
        <v>30</v>
      </c>
      <c r="B11" s="6">
        <f t="shared" si="0"/>
        <v>0.28301886792452829</v>
      </c>
      <c r="C11" s="6">
        <f t="shared" si="1"/>
        <v>9.433962264150944</v>
      </c>
      <c r="D11" s="6">
        <f t="shared" si="2"/>
        <v>2.66998932004272</v>
      </c>
    </row>
    <row r="12" spans="1:7" x14ac:dyDescent="0.35">
      <c r="A12" s="1">
        <v>50</v>
      </c>
      <c r="B12" s="6">
        <f t="shared" si="0"/>
        <v>0.45454545454545453</v>
      </c>
      <c r="C12" s="6">
        <f t="shared" si="1"/>
        <v>9.0909090909090917</v>
      </c>
      <c r="D12" s="6">
        <f t="shared" si="2"/>
        <v>4.1322314049586781</v>
      </c>
    </row>
    <row r="13" spans="1:7" x14ac:dyDescent="0.35">
      <c r="A13" s="1">
        <v>70</v>
      </c>
      <c r="B13" s="6">
        <f t="shared" si="0"/>
        <v>0.61403508771929827</v>
      </c>
      <c r="C13" s="6">
        <f t="shared" si="1"/>
        <v>8.7719298245614041</v>
      </c>
      <c r="D13" s="6">
        <f t="shared" si="2"/>
        <v>5.38627269929209</v>
      </c>
    </row>
    <row r="14" spans="1:7" x14ac:dyDescent="0.35">
      <c r="A14" s="1">
        <v>100</v>
      </c>
      <c r="B14" s="6">
        <f t="shared" si="0"/>
        <v>0.83333333333333337</v>
      </c>
      <c r="C14" s="6">
        <f t="shared" si="1"/>
        <v>8.3333333333333339</v>
      </c>
      <c r="D14" s="6">
        <f t="shared" si="2"/>
        <v>6.9444444444444446</v>
      </c>
    </row>
    <row r="15" spans="1:7" x14ac:dyDescent="0.35">
      <c r="A15" s="1">
        <v>300</v>
      </c>
      <c r="B15" s="6">
        <f t="shared" si="0"/>
        <v>1.875</v>
      </c>
      <c r="C15" s="6">
        <f t="shared" si="1"/>
        <v>6.25</v>
      </c>
      <c r="D15" s="6">
        <f t="shared" si="2"/>
        <v>11.71875</v>
      </c>
    </row>
    <row r="16" spans="1:7" x14ac:dyDescent="0.35">
      <c r="A16" s="1">
        <v>500</v>
      </c>
      <c r="B16" s="6">
        <f t="shared" si="0"/>
        <v>2.5</v>
      </c>
      <c r="C16" s="6">
        <f t="shared" si="1"/>
        <v>5</v>
      </c>
      <c r="D16" s="6">
        <f t="shared" si="2"/>
        <v>12.5</v>
      </c>
    </row>
    <row r="17" spans="1:4" x14ac:dyDescent="0.35">
      <c r="A17" s="1">
        <v>700</v>
      </c>
      <c r="B17" s="6">
        <f t="shared" si="0"/>
        <v>2.9166666666666665</v>
      </c>
      <c r="C17" s="6">
        <f t="shared" si="1"/>
        <v>4.166666666666667</v>
      </c>
      <c r="D17" s="6">
        <f t="shared" si="2"/>
        <v>12.15277777777778</v>
      </c>
    </row>
    <row r="18" spans="1:4" x14ac:dyDescent="0.35">
      <c r="A18" s="1">
        <v>1000</v>
      </c>
      <c r="B18" s="6">
        <f t="shared" si="0"/>
        <v>3.3333333333333335</v>
      </c>
      <c r="C18" s="6">
        <f t="shared" si="1"/>
        <v>3.3333333333333335</v>
      </c>
      <c r="D18" s="6">
        <f t="shared" si="2"/>
        <v>11.111111111111112</v>
      </c>
    </row>
    <row r="19" spans="1:4" x14ac:dyDescent="0.35">
      <c r="A19" s="1">
        <v>3000</v>
      </c>
      <c r="B19" s="6">
        <f t="shared" si="0"/>
        <v>4.2857142857142856</v>
      </c>
      <c r="C19" s="6">
        <f t="shared" si="1"/>
        <v>1.4285714285714286</v>
      </c>
      <c r="D19" s="6">
        <f t="shared" si="2"/>
        <v>6.1224489795918373</v>
      </c>
    </row>
    <row r="20" spans="1:4" x14ac:dyDescent="0.35">
      <c r="A20" s="1">
        <v>5000</v>
      </c>
      <c r="B20" s="6">
        <f t="shared" si="0"/>
        <v>4.5454545454545459</v>
      </c>
      <c r="C20" s="6">
        <f t="shared" si="1"/>
        <v>0.90909090909090906</v>
      </c>
      <c r="D20" s="6">
        <f t="shared" si="2"/>
        <v>4.1322314049586772</v>
      </c>
    </row>
    <row r="21" spans="1:4" x14ac:dyDescent="0.35">
      <c r="A21" s="1">
        <v>7000</v>
      </c>
      <c r="B21" s="6">
        <f t="shared" si="0"/>
        <v>4.666666666666667</v>
      </c>
      <c r="C21" s="6">
        <f t="shared" si="1"/>
        <v>0.66666666666666663</v>
      </c>
      <c r="D21" s="6">
        <f t="shared" si="2"/>
        <v>3.1111111111111112</v>
      </c>
    </row>
    <row r="22" spans="1:4" x14ac:dyDescent="0.35">
      <c r="A22" s="1">
        <v>10000</v>
      </c>
      <c r="B22" s="6">
        <f t="shared" si="0"/>
        <v>4.7619047619047619</v>
      </c>
      <c r="C22" s="6">
        <f t="shared" si="1"/>
        <v>0.47619047619047616</v>
      </c>
      <c r="D22" s="6">
        <f t="shared" si="2"/>
        <v>2.2675736961451247</v>
      </c>
    </row>
    <row r="23" spans="1:4" x14ac:dyDescent="0.35">
      <c r="A23" s="1">
        <v>30000</v>
      </c>
      <c r="B23" s="6">
        <f t="shared" si="0"/>
        <v>4.918032786885246</v>
      </c>
      <c r="C23" s="6">
        <f t="shared" si="1"/>
        <v>0.16393442622950818</v>
      </c>
      <c r="D23" s="6">
        <f t="shared" si="2"/>
        <v>0.80623488309594182</v>
      </c>
    </row>
    <row r="24" spans="1:4" x14ac:dyDescent="0.35">
      <c r="A24" s="1">
        <v>50000</v>
      </c>
      <c r="B24" s="6">
        <f t="shared" si="0"/>
        <v>4.9504950495049505</v>
      </c>
      <c r="C24" s="6">
        <f t="shared" si="1"/>
        <v>9.9009900990099015E-2</v>
      </c>
      <c r="D24" s="6">
        <f t="shared" si="2"/>
        <v>0.49014802470346042</v>
      </c>
    </row>
    <row r="25" spans="1:4" x14ac:dyDescent="0.35">
      <c r="A25" s="1">
        <v>70000</v>
      </c>
      <c r="B25" s="6">
        <f t="shared" si="0"/>
        <v>4.9645390070921982</v>
      </c>
      <c r="C25" s="6">
        <f t="shared" si="1"/>
        <v>7.0921985815602842E-2</v>
      </c>
      <c r="D25" s="6">
        <f t="shared" si="2"/>
        <v>0.35209496504199994</v>
      </c>
    </row>
    <row r="26" spans="1:4" x14ac:dyDescent="0.35">
      <c r="A26" s="1">
        <v>100000</v>
      </c>
      <c r="B26" s="6">
        <f t="shared" si="0"/>
        <v>4.9751243781094523</v>
      </c>
      <c r="C26" s="6">
        <f t="shared" si="1"/>
        <v>4.975124378109453E-2</v>
      </c>
      <c r="D26" s="6">
        <f t="shared" si="2"/>
        <v>0.24751862577658967</v>
      </c>
    </row>
  </sheetData>
  <pageMargins left="0.7" right="0.7" top="0.75" bottom="0.75" header="0.3" footer="0.3"/>
  <pageSetup paperSize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Zach Melina, SchülerIn</dc:creator>
  <cp:lastModifiedBy>Zach Melina, SchülerIn</cp:lastModifiedBy>
  <dcterms:created xsi:type="dcterms:W3CDTF">2026-10-12T10:56:39Z</dcterms:created>
  <dcterms:modified xsi:type="dcterms:W3CDTF">2026-10-12T11:53:11Z</dcterms:modified>
</cp:coreProperties>
</file>